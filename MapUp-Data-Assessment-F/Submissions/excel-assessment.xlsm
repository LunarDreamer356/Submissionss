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3CC1F196-C20F-4B9A-A058-449D694D7F10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_xlnm._FilterDatabase" localSheetId="3" hidden="1">Task_2!$H$40:$H$43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23" i="20"/>
  <c r="C33" i="20"/>
  <c r="C24" i="20"/>
  <c r="C25" i="20"/>
  <c r="C26" i="20"/>
  <c r="C27" i="20"/>
  <c r="C28" i="20"/>
  <c r="C29" i="20"/>
  <c r="C30" i="20"/>
  <c r="C31" i="20"/>
  <c r="C32" i="20"/>
  <c r="C34" i="20"/>
  <c r="C35" i="20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F30" i="18"/>
  <c r="F29" i="18"/>
  <c r="F28" i="18"/>
  <c r="E30" i="18"/>
  <c r="E29" i="18"/>
  <c r="E28" i="18"/>
  <c r="D30" i="18"/>
  <c r="D29" i="18"/>
  <c r="D28" i="18"/>
  <c r="C30" i="18"/>
  <c r="C29" i="18"/>
  <c r="C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6" i="18"/>
  <c r="E6" i="18"/>
  <c r="D6" i="18"/>
  <c r="B6" i="18"/>
  <c r="C6" i="18"/>
  <c r="Y2" i="1"/>
  <c r="B30" i="18" l="1"/>
  <c r="B29" i="18"/>
  <c r="B28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<sst xmlns="http://schemas.openxmlformats.org/spreadsheetml/2006/main" count="413" uniqueCount="189">
  <si>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</si>
  <si>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</si>
  <si>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</si>
  <si>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</si>
  <si>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</si>
  <si>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</si>
  <si>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</si>
  <si>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</si>
  <si>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</si>
  <si>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</si>
  <si>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</si>
  <si>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</si>
  <si>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</si>
  <si>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</si>
  <si>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</si>
  <si>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</si>
  <si>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</si>
  <si>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</si>
  <si>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</si>
  <si>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</si>
  <si>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</si>
  <si>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</si>
  <si>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</si>
  <si>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</si>
  <si>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</si>
  <si>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</si>
  <si>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</si>
  <si>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</si>
  <si>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</si>
  <si>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</si>
  <si>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</si>
  <si>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</si>
  <si>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</si>
  <si>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</si>
  <si>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</si>
  <si>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</si>
  <si>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</si>
  <si>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</si>
  <si>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</si>
  <si>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</si>
  <si>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</si>
  <si>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</si>
  <si>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</si>
  <si>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</si>
  <si>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</si>
  <si>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</si>
  <si>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</si>
  <si>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</si>
  <si>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</si>
  <si>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</si>
  <si>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</si>
  <si>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</si>
  <si>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</si>
  <si>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</si>
  <si>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</si>
  <si>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</si>
  <si>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</si>
  <si>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</si>
  <si>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</si>
  <si>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</si>
  <si>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</si>
  <si>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</si>
  <si>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</si>
  <si>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</si>
  <si>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</si>
  <si>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</si>
  <si>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</si>
  <si>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</si>
  <si>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</si>
  <si>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</si>
  <si>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</si>
  <si>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</si>
  <si>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</si>
  <si>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</si>
  <si>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</si>
  <si>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</si>
  <si>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</si>
  <si>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</si>
  <si>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</si>
  <si>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</si>
  <si>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</si>
  <si>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</si>
  <si>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</si>
  <si>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</si>
  <si>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</si>
  <si>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</si>
  <si>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</si>
  <si>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</si>
  <si>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</si>
  <si>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</si>
  <si>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</si>
  <si>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</si>
  <si>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</si>
  <si>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</si>
  <si>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</si>
  <si>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</si>
  <si>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</si>
  <si>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</si>
  <si>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</si>
  <si>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</si>
  <si>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</si>
  <si>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</si>
  <si>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</si>
  <si>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</si>
  <si>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</si>
  <si>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</si>
  <si>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</si>
  <si>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</si>
  <si>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</si>
  <si>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</si>
  <si>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</si>
  <si>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</si>
  <si>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</si>
  <si>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</si>
  <si>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</si>
  <si>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</si>
  <si>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</si>
  <si>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</si>
  <si>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</si>
  <si>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</si>
  <si>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</si>
  <si>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</si>
  <si>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</si>
  <si>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</si>
  <si>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</si>
  <si>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</si>
  <si>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</si>
  <si>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</si>
  <si>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</si>
  <si>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</si>
  <si>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</si>
  <si>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</si>
  <si>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</si>
  <si>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</si>
  <si>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</si>
  <si>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</si>
  <si>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</si>
  <si>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</si>
  <si>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</si>
  <si>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</si>
  <si>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</si>
  <si>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</si>
  <si>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</si>
  <si>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</si>
  <si>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</si>
  <si>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</si>
  <si>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</si>
  <si>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</si>
  <si>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</si>
  <si>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</si>
  <si>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</si>
  <si>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</si>
  <si>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</si>
  <si>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</si>
  <si>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</si>
  <si>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</si>
  <si>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</si>
  <si>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</si>
  <si>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</si>
  <si>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</si>
  <si>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</si>
  <si>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</si>
  <si>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</si>
  <si>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</si>
  <si>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</si>
  <si>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</si>
  <si>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</si>
  <si>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</si>
  <si>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</si>
  <si>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</si>
  <si>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</si>
  <si>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</si>
  <si>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</si>
  <si>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</si>
  <si>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</si>
  <si>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</si>
  <si>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</si>
  <si>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Sum_of_car2</t>
  </si>
  <si>
    <t>SUMIF(H1:$H$40, "&gt;20")</t>
  </si>
  <si>
    <t>1. ISNA(Table_A_Sales) : This Checks if each if each value in the 'Sales' Column of Table_A is #NA. If it is #N/A, it returns 'true';Otherwise ,it returns 'false'.</t>
  </si>
  <si>
    <t>2.IF(ISNA(Table_A_Sales) ,20,Table_A_Sales) : This is an array formula that replace #N/A Values with with the specified value, if the value is #N/A, it substitutes it with 20 otherwise, it keeps the original value.</t>
  </si>
  <si>
    <t>3. SUM(IF(ISNA(Table_A_Sales) : This Part calculates the sum of the modified sales column.</t>
  </si>
  <si>
    <t>* Highlight the values what you want to split in Excel 'Data' tab.</t>
  </si>
  <si>
    <t>* Click 'Text to Columns' and choose 'Delimited'. Pick hyphen as the separator.</t>
  </si>
  <si>
    <t>* Select where we want the split values to appear and click 'Finesh'</t>
  </si>
  <si>
    <t>* MATCH($A23,$M$9:$M$18,0) : Finds the row number in Table_A where "name_1" in Table_C matches the "Name" column in Table_A.</t>
  </si>
  <si>
    <t>* MATCH($B23,$M$9:$M$18,0): Finds the column number in Table_A where "name_2" in Table_C matches the headers of Table_A.</t>
  </si>
  <si>
    <t>* INDEX(Table_A, ..., ...): Retrieves the value at the intersection of the row and column found in steps 1 and 2 within Table_A.</t>
  </si>
  <si>
    <t>#SUM(IF(ISNA($C$11:$C$21), 20, $C$11:$C$21))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</si>
</sst>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Congenial Light"/>
    </font>
    <font>
      <sz val="12"/>
      <color rgb="FF374151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8" fillId="0" borderId="8" xfId="0" applyFont="1" applyBorder="1"/>
    <xf numFmtId="0" fontId="18" fillId="0" borderId="0" xfId="0" applyFont="1"/>
    <xf numFmtId="0" fontId="19" fillId="0" borderId="0" xfId="0" applyFont="1" applyAlignment="1">
      <alignment horizontal="left" vertical="center" indent="1"/>
    </xf>
    <xf numFmtId="0" fontId="20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abSelected="1" topLeftCell="P1" zoomScaleNormal="100" workbookViewId="0">
      <pane ySplit="1" topLeftCell="A3" activePane="bottomLeft" state="frozen"/>
      <selection pane="bottomLeft" activeCell="X4" sqref="X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23.6640625" style="1" bestFit="1" customWidth="1"/>
    <col min="25" max="25" width="19.77734375" style="1" bestFit="1" customWidth="1"/>
    <col min="26" max="16384" width="9" style="1"/>
  </cols>
  <sheetData>
    <row r="1" spans="1:25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  <c r="Y1" s="3" t="s">
        <v>177</v>
      </c>
    </row>
    <row r="2" spans="1:25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  <c r="Y2" s="1">
        <f>SUMIF(H2:H40, "&gt;20")</f>
        <v>1473.0000000000002</v>
      </c>
    </row>
    <row r="3" spans="1:25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  <c r="Y3" s="1">
        <f t="shared" ref="Y3:Y40" si="0">SUMIF(H3:H41, "&gt;20")</f>
        <v>1473.0000000000002</v>
      </c>
    </row>
    <row r="4" spans="1:25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  <c r="Y4" s="1">
        <f t="shared" si="0"/>
        <v>1473.0000000000002</v>
      </c>
    </row>
    <row r="5" spans="1:25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  <c r="Y5" s="1">
        <f t="shared" si="0"/>
        <v>1473.0000000000002</v>
      </c>
    </row>
    <row r="6" spans="1:25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  <c r="Y6" s="1">
        <f t="shared" si="0"/>
        <v>1473.0000000000002</v>
      </c>
    </row>
    <row r="7" spans="1:25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  <c r="Y7" s="1">
        <f t="shared" si="0"/>
        <v>1473.0000000000002</v>
      </c>
    </row>
    <row r="8" spans="1:25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  <c r="Y8" s="1">
        <f t="shared" si="0"/>
        <v>1473.0000000000002</v>
      </c>
    </row>
    <row r="9" spans="1:25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  <c r="Y9" s="1">
        <f t="shared" si="0"/>
        <v>1473.0000000000002</v>
      </c>
    </row>
    <row r="10" spans="1:25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  <c r="Y10" s="1">
        <f t="shared" si="0"/>
        <v>1473.0000000000002</v>
      </c>
    </row>
    <row r="11" spans="1:25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  <c r="Y11" s="1">
        <f t="shared" si="0"/>
        <v>1448.9000000000003</v>
      </c>
    </row>
    <row r="12" spans="1:25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  <c r="Y12" s="1">
        <f t="shared" si="0"/>
        <v>1421.4000000000003</v>
      </c>
    </row>
    <row r="13" spans="1:25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  <c r="Y13" s="1">
        <f t="shared" si="0"/>
        <v>1421.4000000000003</v>
      </c>
    </row>
    <row r="14" spans="1:25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  <c r="Y14" s="1">
        <f t="shared" si="0"/>
        <v>1389.3000000000002</v>
      </c>
    </row>
    <row r="15" spans="1:25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  <c r="Y15" s="1">
        <f t="shared" si="0"/>
        <v>1354.6</v>
      </c>
    </row>
    <row r="16" spans="1:25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  <c r="Y16" s="1">
        <f t="shared" si="0"/>
        <v>1315.3</v>
      </c>
    </row>
    <row r="17" spans="1:25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  <c r="Y17" s="1">
        <f t="shared" si="0"/>
        <v>1274.3</v>
      </c>
    </row>
    <row r="18" spans="1:25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  <c r="Y18" s="1">
        <f t="shared" si="0"/>
        <v>1232</v>
      </c>
    </row>
    <row r="19" spans="1:25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  <c r="Y19" s="1">
        <f t="shared" si="0"/>
        <v>1188.6999999999998</v>
      </c>
    </row>
    <row r="20" spans="1:25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  <c r="Y20" s="1">
        <f t="shared" si="0"/>
        <v>1143.1999999999998</v>
      </c>
    </row>
    <row r="21" spans="1:25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  <c r="Y21" s="1">
        <f t="shared" si="0"/>
        <v>1093.0999999999999</v>
      </c>
    </row>
    <row r="22" spans="1:25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  <c r="Y22" s="1">
        <f t="shared" si="0"/>
        <v>1040.8</v>
      </c>
    </row>
    <row r="23" spans="1:25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  <c r="Y23" s="1">
        <f t="shared" si="0"/>
        <v>986.2</v>
      </c>
    </row>
    <row r="24" spans="1:25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  <c r="Y24" s="1">
        <f t="shared" si="0"/>
        <v>929</v>
      </c>
    </row>
    <row r="25" spans="1:25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  <c r="Y25" s="1">
        <f t="shared" si="0"/>
        <v>869.8</v>
      </c>
    </row>
    <row r="26" spans="1:25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  <c r="Y26" s="1">
        <f t="shared" si="0"/>
        <v>810.6</v>
      </c>
    </row>
    <row r="27" spans="1:25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  <c r="Y27" s="1">
        <f t="shared" si="0"/>
        <v>810.6</v>
      </c>
    </row>
    <row r="28" spans="1:25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  <c r="Y28" s="1">
        <f t="shared" si="0"/>
        <v>749.2</v>
      </c>
    </row>
    <row r="29" spans="1:25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  <c r="Y29" s="1">
        <f t="shared" si="0"/>
        <v>687.8</v>
      </c>
    </row>
    <row r="30" spans="1:25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  <c r="Y30" s="1">
        <f t="shared" si="0"/>
        <v>624.20000000000005</v>
      </c>
    </row>
    <row r="31" spans="1:25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  <c r="Y31" s="1">
        <f t="shared" si="0"/>
        <v>624.20000000000005</v>
      </c>
    </row>
    <row r="32" spans="1:25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  <c r="Y32" s="1">
        <f t="shared" si="0"/>
        <v>558.30000000000007</v>
      </c>
    </row>
    <row r="33" spans="1:25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  <c r="Y33" s="1">
        <f t="shared" si="0"/>
        <v>558.30000000000007</v>
      </c>
    </row>
    <row r="34" spans="1:25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  <c r="Y34" s="1">
        <f t="shared" si="0"/>
        <v>496.9</v>
      </c>
    </row>
    <row r="35" spans="1:25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  <c r="Y35" s="1">
        <f t="shared" si="0"/>
        <v>433.3</v>
      </c>
    </row>
    <row r="36" spans="1:25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  <c r="Y36" s="1">
        <f t="shared" si="0"/>
        <v>367.4</v>
      </c>
    </row>
    <row r="37" spans="1:25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  <c r="Y37" s="1">
        <f t="shared" si="0"/>
        <v>297</v>
      </c>
    </row>
    <row r="38" spans="1:25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  <c r="Y38" s="1">
        <f t="shared" si="0"/>
        <v>225</v>
      </c>
    </row>
    <row r="39" spans="1:25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  <c r="Y39" s="1">
        <f t="shared" si="0"/>
        <v>152.19999999999999</v>
      </c>
    </row>
    <row r="40" spans="1:25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  <c r="Y40" s="1">
        <f t="shared" si="0"/>
        <v>77.2</v>
      </c>
    </row>
  </sheetData>
  <autoFilter ref="A1:X40" xr:uid="{00000000-0001-0000-0000-000000000000}"/>
  <conditionalFormatting sqref="A41:A1048576">
    <cfRule type="duplicateValues" dxfId="7" priority="8"/>
  </conditionalFormatting>
  <conditionalFormatting sqref="B41:B1048576">
    <cfRule type="duplicateValues" dxfId="6" priority="7"/>
  </conditionalFormatting>
  <conditionalFormatting sqref="A1:C40 E1:Y40">
    <cfRule type="cellIs" dxfId="5" priority="1" operator="equal">
      <formula>0</formula>
    </cfRule>
    <cfRule type="cellIs" dxfId="4" priority="3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Normal="100" workbookViewId="0">
      <selection activeCell="B22" sqref="B22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178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43"/>
  <sheetViews>
    <sheetView topLeftCell="A4" zoomScaleNormal="100" workbookViewId="0">
      <selection activeCell="D31" sqref="D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VLOOKUP($A6,Dataset!$A$2:$V$40,MATCH(Task_2!$B$5,Dataset!$A$1:$V$1,0),FALSE)</f>
        <v>2.7</v>
      </c>
      <c r="C6" s="11">
        <f>VLOOKUP($A6,Dataset!$A$2:$V$40,MATCH(Task_2!$C$5,Dataset!$A$1:$V$1,0),FALSE)</f>
        <v>7.6</v>
      </c>
      <c r="D6" s="11">
        <f>VLOOKUP($A6,Dataset!$A$2:$V$40,MATCH(Task_2!$D$5,Dataset!$A$1:$V$1,0),FALSE)</f>
        <v>4.2</v>
      </c>
      <c r="E6" s="11">
        <f>VLOOKUP($A6,Dataset!$A$2:$V$40,MATCH(Task_2!$E$5,Dataset!$A$1:$V$1,0),FALSE)</f>
        <v>8.9</v>
      </c>
      <c r="F6" s="11">
        <f>VLOOKUP($A6,Dataset!$A$2:$V$40,MATCH(Task_2!$F$5,Dataset!$A$1:$V$1,0),FALSE)</f>
        <v>4.2</v>
      </c>
    </row>
    <row r="7" spans="1:7" ht="14.4" x14ac:dyDescent="0.3">
      <c r="A7" s="7" t="s">
        <v>4</v>
      </c>
      <c r="B7" s="11">
        <f>VLOOKUP($A7,Dataset!$A$2:$V$40,MATCH(Task_2!$B$5,Dataset!$A$1:$V$1,0),FALSE)</f>
        <v>2.7</v>
      </c>
      <c r="C7" s="11">
        <f>VLOOKUP($A7,Dataset!$A$2:$V$40,MATCH(Task_2!$C$5,Dataset!$A$1:$V$1,0),FALSE)</f>
        <v>7.6</v>
      </c>
      <c r="D7" s="11">
        <f>VLOOKUP($A7,Dataset!$A$2:$V$40,MATCH(Task_2!$D$5,Dataset!$A$1:$V$1,0),FALSE)</f>
        <v>4.2</v>
      </c>
      <c r="E7" s="11">
        <f>VLOOKUP($A7,Dataset!$A$2:$V$40,MATCH(Task_2!$E$5,Dataset!$A$1:$V$1,0),FALSE)</f>
        <v>8.9</v>
      </c>
      <c r="F7" s="11">
        <f>VLOOKUP($A7,Dataset!$A$2:$V$40,MATCH(Task_2!$F$5,Dataset!$A$1:$V$1,0),FALSE)</f>
        <v>4.2</v>
      </c>
    </row>
    <row r="8" spans="1:7" ht="14.4" x14ac:dyDescent="0.3">
      <c r="A8" s="7" t="s">
        <v>7</v>
      </c>
      <c r="B8" s="11">
        <f>VLOOKUP($A8,Dataset!$A$2:$V$40,MATCH(Task_2!$B$5,Dataset!$A$1:$V$1,0),FALSE)</f>
        <v>3.6</v>
      </c>
      <c r="C8" s="11">
        <f>VLOOKUP($A8,Dataset!$A$2:$V$40,MATCH(Task_2!$C$5,Dataset!$A$1:$V$1,0),FALSE)</f>
        <v>11.1</v>
      </c>
      <c r="D8" s="11">
        <f>VLOOKUP($A8,Dataset!$A$2:$V$40,MATCH(Task_2!$D$5,Dataset!$A$1:$V$1,0),FALSE)</f>
        <v>5.8</v>
      </c>
      <c r="E8" s="11">
        <f>VLOOKUP($A8,Dataset!$A$2:$V$40,MATCH(Task_2!$E$5,Dataset!$A$1:$V$1,0),FALSE)</f>
        <v>12.2</v>
      </c>
      <c r="F8" s="11">
        <f>VLOOKUP($A8,Dataset!$A$2:$V$40,MATCH(Task_2!$F$5,Dataset!$A$1:$V$1,0),FALSE)</f>
        <v>5.8</v>
      </c>
    </row>
    <row r="9" spans="1:7" ht="14.4" x14ac:dyDescent="0.3">
      <c r="A9" s="7" t="s">
        <v>8</v>
      </c>
      <c r="B9" s="11">
        <f>VLOOKUP($A9,Dataset!$A$2:$V$40,MATCH(Task_2!$B$5,Dataset!$A$1:$V$1,0),FALSE)</f>
        <v>4.9000000000000004</v>
      </c>
      <c r="C9" s="11">
        <f>VLOOKUP($A9,Dataset!$A$2:$V$40,MATCH(Task_2!$C$5,Dataset!$A$1:$V$1,0),FALSE)</f>
        <v>13.3</v>
      </c>
      <c r="D9" s="11">
        <f>VLOOKUP($A9,Dataset!$A$2:$V$40,MATCH(Task_2!$D$5,Dataset!$A$1:$V$1,0),FALSE)</f>
        <v>8.1</v>
      </c>
      <c r="E9" s="11">
        <f>VLOOKUP($A9,Dataset!$A$2:$V$40,MATCH(Task_2!$E$5,Dataset!$A$1:$V$1,0),FALSE)</f>
        <v>17</v>
      </c>
      <c r="F9" s="11">
        <f>VLOOKUP($A9,Dataset!$A$2:$V$40,MATCH(Task_2!$F$5,Dataset!$A$1:$V$1,0),FALSE)</f>
        <v>8.1</v>
      </c>
    </row>
    <row r="10" spans="1:7" ht="14.4" x14ac:dyDescent="0.3">
      <c r="A10" s="7" t="s">
        <v>11</v>
      </c>
      <c r="B10" s="11">
        <f>VLOOKUP($A10,Dataset!$A$2:$V$40,MATCH(Task_2!$B$5,Dataset!$A$1:$V$1,0),FALSE)</f>
        <v>9.4</v>
      </c>
      <c r="C10" s="11">
        <f>VLOOKUP($A10,Dataset!$A$2:$V$40,MATCH(Task_2!$C$5,Dataset!$A$1:$V$1,0),FALSE)</f>
        <v>28.3</v>
      </c>
      <c r="D10" s="11">
        <f>VLOOKUP($A10,Dataset!$A$2:$V$40,MATCH(Task_2!$D$5,Dataset!$A$1:$V$1,0),FALSE)</f>
        <v>16.100000000000001</v>
      </c>
      <c r="E10" s="11">
        <f>VLOOKUP($A10,Dataset!$A$2:$V$40,MATCH(Task_2!$E$5,Dataset!$A$1:$V$1,0),FALSE)</f>
        <v>32.799999999999997</v>
      </c>
      <c r="F10" s="11">
        <f>VLOOKUP($A10,Dataset!$A$2:$V$40,MATCH(Task_2!$F$5,Dataset!$A$1:$V$1,0),FALSE)</f>
        <v>16.100000000000001</v>
      </c>
    </row>
    <row r="11" spans="1:7" ht="14.4" x14ac:dyDescent="0.3">
      <c r="A11" s="7" t="s">
        <v>12</v>
      </c>
      <c r="B11" s="11">
        <f>VLOOKUP($A11,Dataset!$A$2:$V$40,MATCH(Task_2!$B$5,Dataset!$A$1:$V$1,0),FALSE)</f>
        <v>11.6</v>
      </c>
      <c r="C11" s="11">
        <f>VLOOKUP($A11,Dataset!$A$2:$V$40,MATCH(Task_2!$C$5,Dataset!$A$1:$V$1,0),FALSE)</f>
        <v>35.200000000000003</v>
      </c>
      <c r="D11" s="11">
        <f>VLOOKUP($A11,Dataset!$A$2:$V$40,MATCH(Task_2!$D$5,Dataset!$A$1:$V$1,0),FALSE)</f>
        <v>21.3</v>
      </c>
      <c r="E11" s="11">
        <f>VLOOKUP($A11,Dataset!$A$2:$V$40,MATCH(Task_2!$E$5,Dataset!$A$1:$V$1,0),FALSE)</f>
        <v>43</v>
      </c>
      <c r="F11" s="11">
        <f>VLOOKUP($A11,Dataset!$A$2:$V$40,MATCH(Task_2!$F$5,Dataset!$A$1:$V$1,0),FALSE)</f>
        <v>21.3</v>
      </c>
    </row>
    <row r="12" spans="1:7" ht="14.4" x14ac:dyDescent="0.3">
      <c r="A12" s="7" t="s">
        <v>14</v>
      </c>
      <c r="B12" s="11">
        <f>VLOOKUP($A12,Dataset!$A$2:$V$40,MATCH(Task_2!$B$5,Dataset!$A$1:$V$1,0),FALSE)</f>
        <v>18.399999999999999</v>
      </c>
      <c r="C12" s="11">
        <f>VLOOKUP($A12,Dataset!$A$2:$V$40,MATCH(Task_2!$C$5,Dataset!$A$1:$V$1,0),FALSE)</f>
        <v>55.6</v>
      </c>
      <c r="D12" s="11">
        <f>VLOOKUP($A12,Dataset!$A$2:$V$40,MATCH(Task_2!$D$5,Dataset!$A$1:$V$1,0),FALSE)</f>
        <v>33.799999999999997</v>
      </c>
      <c r="E12" s="11">
        <f>VLOOKUP($A12,Dataset!$A$2:$V$40,MATCH(Task_2!$E$5,Dataset!$A$1:$V$1,0),FALSE)</f>
        <v>67.900000000000006</v>
      </c>
      <c r="F12" s="11">
        <f>VLOOKUP($A12,Dataset!$A$2:$V$40,MATCH(Task_2!$F$5,Dataset!$A$1:$V$1,0),FALSE)</f>
        <v>33.799999999999997</v>
      </c>
    </row>
    <row r="13" spans="1:7" ht="14.4" x14ac:dyDescent="0.3">
      <c r="A13" s="7" t="s">
        <v>15</v>
      </c>
      <c r="B13" s="11">
        <f>VLOOKUP($A13,Dataset!$A$2:$V$40,MATCH(Task_2!$B$5,Dataset!$A$1:$V$1,0),FALSE)</f>
        <v>0</v>
      </c>
      <c r="C13" s="11">
        <f>VLOOKUP($A13,Dataset!$A$2:$V$40,MATCH(Task_2!$C$5,Dataset!$A$1:$V$1,0),FALSE)</f>
        <v>0</v>
      </c>
      <c r="D13" s="11">
        <f>VLOOKUP($A13,Dataset!$A$2:$V$40,MATCH(Task_2!$D$5,Dataset!$A$1:$V$1,0),FALSE)</f>
        <v>0</v>
      </c>
      <c r="E13" s="11">
        <f>VLOOKUP($A13,Dataset!$A$2:$V$40,MATCH(Task_2!$E$5,Dataset!$A$1:$V$1,0),FALSE)</f>
        <v>0</v>
      </c>
      <c r="F13" s="11">
        <f>VLOOKUP($A13,Dataset!$A$2:$V$40,MATCH(Task_2!$F$5,Dataset!$A$1:$V$1,0),FALSE)</f>
        <v>0</v>
      </c>
    </row>
    <row r="14" spans="1:7" ht="14.4" x14ac:dyDescent="0.3">
      <c r="A14" s="7" t="s">
        <v>16</v>
      </c>
      <c r="B14" s="11">
        <f>VLOOKUP($A14,Dataset!$A$2:$V$40,MATCH(Task_2!$B$5,Dataset!$A$1:$V$1,0),FALSE)</f>
        <v>21.9</v>
      </c>
      <c r="C14" s="11">
        <f>VLOOKUP($A14,Dataset!$A$2:$V$40,MATCH(Task_2!$C$5,Dataset!$A$1:$V$1,0),FALSE)</f>
        <v>61.5</v>
      </c>
      <c r="D14" s="11">
        <f>VLOOKUP($A14,Dataset!$A$2:$V$40,MATCH(Task_2!$D$5,Dataset!$A$1:$V$1,0),FALSE)</f>
        <v>40.1</v>
      </c>
      <c r="E14" s="11">
        <f>VLOOKUP($A14,Dataset!$A$2:$V$40,MATCH(Task_2!$E$5,Dataset!$A$1:$V$1,0),FALSE)</f>
        <v>76.599999999999994</v>
      </c>
      <c r="F14" s="11">
        <f>VLOOKUP($A14,Dataset!$A$2:$V$40,MATCH(Task_2!$F$5,Dataset!$A$1:$V$1,0),FALSE)</f>
        <v>40.1</v>
      </c>
    </row>
    <row r="15" spans="1:7" ht="14.4" x14ac:dyDescent="0.3">
      <c r="A15" s="7" t="s">
        <v>18</v>
      </c>
      <c r="B15" s="11">
        <f>VLOOKUP($A15,Dataset!$A$2:$V$40,MATCH(Task_2!$B$5,Dataset!$A$1:$V$1,0),FALSE)</f>
        <v>26.8</v>
      </c>
      <c r="C15" s="11">
        <f>VLOOKUP($A15,Dataset!$A$2:$V$40,MATCH(Task_2!$C$5,Dataset!$A$1:$V$1,0),FALSE)</f>
        <v>79.599999999999994</v>
      </c>
      <c r="D15" s="11">
        <f>VLOOKUP($A15,Dataset!$A$2:$V$40,MATCH(Task_2!$D$5,Dataset!$A$1:$V$1,0),FALSE)</f>
        <v>47.9</v>
      </c>
      <c r="E15" s="11">
        <f>VLOOKUP($A15,Dataset!$A$2:$V$40,MATCH(Task_2!$E$5,Dataset!$A$1:$V$1,0),FALSE)</f>
        <v>96.8</v>
      </c>
      <c r="F15" s="11">
        <f>VLOOKUP($A15,Dataset!$A$2:$V$40,MATCH(Task_2!$F$5,Dataset!$A$1:$V$1,0),FALSE)</f>
        <v>47.9</v>
      </c>
    </row>
    <row r="16" spans="1:7" ht="14.4" x14ac:dyDescent="0.3">
      <c r="A16" s="7" t="s">
        <v>20</v>
      </c>
      <c r="B16" s="11">
        <f>VLOOKUP($A16,Dataset!$A$2:$V$40,MATCH(Task_2!$B$5,Dataset!$A$1:$V$1,0),FALSE)</f>
        <v>28.5</v>
      </c>
      <c r="C16" s="11">
        <f>VLOOKUP($A16,Dataset!$A$2:$V$40,MATCH(Task_2!$C$5,Dataset!$A$1:$V$1,0),FALSE)</f>
        <v>85.4</v>
      </c>
      <c r="D16" s="11">
        <f>VLOOKUP($A16,Dataset!$A$2:$V$40,MATCH(Task_2!$D$5,Dataset!$A$1:$V$1,0),FALSE)</f>
        <v>52.3</v>
      </c>
      <c r="E16" s="11">
        <f>VLOOKUP($A16,Dataset!$A$2:$V$40,MATCH(Task_2!$E$5,Dataset!$A$1:$V$1,0),FALSE)</f>
        <v>106.1</v>
      </c>
      <c r="F16" s="11">
        <f>VLOOKUP($A16,Dataset!$A$2:$V$40,MATCH(Task_2!$F$5,Dataset!$A$1:$V$1,0),FALSE)</f>
        <v>52.3</v>
      </c>
    </row>
    <row r="17" spans="1:6" ht="14.4" x14ac:dyDescent="0.3">
      <c r="A17" s="7" t="s">
        <v>22</v>
      </c>
      <c r="B17" s="11">
        <f>VLOOKUP($A17,Dataset!$A$2:$V$40,MATCH(Task_2!$B$5,Dataset!$A$1:$V$1,0),FALSE)</f>
        <v>30.7</v>
      </c>
      <c r="C17" s="11">
        <f>VLOOKUP($A17,Dataset!$A$2:$V$40,MATCH(Task_2!$C$5,Dataset!$A$1:$V$1,0),FALSE)</f>
        <v>92.1</v>
      </c>
      <c r="D17" s="11">
        <f>VLOOKUP($A17,Dataset!$A$2:$V$40,MATCH(Task_2!$D$5,Dataset!$A$1:$V$1,0),FALSE)</f>
        <v>57</v>
      </c>
      <c r="E17" s="11">
        <f>VLOOKUP($A17,Dataset!$A$2:$V$40,MATCH(Task_2!$E$5,Dataset!$A$1:$V$1,0),FALSE)</f>
        <v>115.1</v>
      </c>
      <c r="F17" s="11">
        <f>VLOOKUP($A17,Dataset!$A$2:$V$40,MATCH(Task_2!$F$5,Dataset!$A$1:$V$1,0),FALSE)</f>
        <v>57</v>
      </c>
    </row>
    <row r="18" spans="1:6" ht="14.4" x14ac:dyDescent="0.3">
      <c r="A18" s="7" t="s">
        <v>23</v>
      </c>
      <c r="B18" s="11">
        <f>VLOOKUP($A18,Dataset!$A$2:$V$40,MATCH(Task_2!$B$5,Dataset!$A$1:$V$1,0),FALSE)</f>
        <v>33.799999999999997</v>
      </c>
      <c r="C18" s="11">
        <f>VLOOKUP($A18,Dataset!$A$2:$V$40,MATCH(Task_2!$C$5,Dataset!$A$1:$V$1,0),FALSE)</f>
        <v>101.3</v>
      </c>
      <c r="D18" s="11">
        <f>VLOOKUP($A18,Dataset!$A$2:$V$40,MATCH(Task_2!$D$5,Dataset!$A$1:$V$1,0),FALSE)</f>
        <v>61.4</v>
      </c>
      <c r="E18" s="11">
        <f>VLOOKUP($A18,Dataset!$A$2:$V$40,MATCH(Task_2!$E$5,Dataset!$A$1:$V$1,0),FALSE)</f>
        <v>124.4</v>
      </c>
      <c r="F18" s="11">
        <f>VLOOKUP($A18,Dataset!$A$2:$V$40,MATCH(Task_2!$F$5,Dataset!$A$1:$V$1,0),FALSE)</f>
        <v>61.4</v>
      </c>
    </row>
    <row r="19" spans="1:6" ht="14.4" x14ac:dyDescent="0.3">
      <c r="A19" s="7" t="s">
        <v>24</v>
      </c>
      <c r="B19" s="11">
        <f>VLOOKUP($A19,Dataset!$A$2:$V$40,MATCH(Task_2!$B$5,Dataset!$A$1:$V$1,0),FALSE)</f>
        <v>34.700000000000003</v>
      </c>
      <c r="C19" s="11">
        <f>VLOOKUP($A19,Dataset!$A$2:$V$40,MATCH(Task_2!$C$5,Dataset!$A$1:$V$1,0),FALSE)</f>
        <v>106.1</v>
      </c>
      <c r="D19" s="11">
        <f>VLOOKUP($A19,Dataset!$A$2:$V$40,MATCH(Task_2!$D$5,Dataset!$A$1:$V$1,0),FALSE)</f>
        <v>63.6</v>
      </c>
      <c r="E19" s="11">
        <f>VLOOKUP($A19,Dataset!$A$2:$V$40,MATCH(Task_2!$E$5,Dataset!$A$1:$V$1,0),FALSE)</f>
        <v>128.6</v>
      </c>
      <c r="F19" s="11">
        <f>VLOOKUP($A19,Dataset!$A$2:$V$40,MATCH(Task_2!$F$5,Dataset!$A$1:$V$1,0),FALSE)</f>
        <v>63.6</v>
      </c>
    </row>
    <row r="20" spans="1:6" ht="14.4" x14ac:dyDescent="0.3">
      <c r="A20" s="7" t="s">
        <v>28</v>
      </c>
      <c r="B20" s="11">
        <f>VLOOKUP($A20,Dataset!$A$2:$V$40,MATCH(Task_2!$B$5,Dataset!$A$1:$V$1,0),FALSE)</f>
        <v>0</v>
      </c>
      <c r="C20" s="11">
        <f>VLOOKUP($A20,Dataset!$A$2:$V$40,MATCH(Task_2!$C$5,Dataset!$A$1:$V$1,0),FALSE)</f>
        <v>0</v>
      </c>
      <c r="D20" s="11">
        <f>VLOOKUP($A20,Dataset!$A$2:$V$40,MATCH(Task_2!$D$5,Dataset!$A$1:$V$1,0),FALSE)</f>
        <v>0</v>
      </c>
      <c r="E20" s="11">
        <f>VLOOKUP($A20,Dataset!$A$2:$V$40,MATCH(Task_2!$E$5,Dataset!$A$1:$V$1,0),FALSE)</f>
        <v>0</v>
      </c>
      <c r="F20" s="11">
        <f>VLOOKUP($A20,Dataset!$A$2:$V$40,MATCH(Task_2!$F$5,Dataset!$A$1:$V$1,0),FALSE)</f>
        <v>0</v>
      </c>
    </row>
    <row r="21" spans="1:6" ht="14.4" x14ac:dyDescent="0.3">
      <c r="A21" s="7" t="s">
        <v>57</v>
      </c>
      <c r="B21" s="11">
        <f>VLOOKUP($A21,Dataset!$A$2:$V$40,MATCH(Task_2!$B$5,Dataset!$A$1:$V$1,0),FALSE)</f>
        <v>41.3</v>
      </c>
      <c r="C21" s="11">
        <f>VLOOKUP($A21,Dataset!$A$2:$V$40,MATCH(Task_2!$C$5,Dataset!$A$1:$V$1,0),FALSE)</f>
        <v>124.4</v>
      </c>
      <c r="D21" s="11">
        <f>VLOOKUP($A21,Dataset!$A$2:$V$40,MATCH(Task_2!$D$5,Dataset!$A$1:$V$1,0),FALSE)</f>
        <v>75</v>
      </c>
      <c r="E21" s="11">
        <f>VLOOKUP($A21,Dataset!$A$2:$V$40,MATCH(Task_2!$E$5,Dataset!$A$1:$V$1,0),FALSE)</f>
        <v>151.5</v>
      </c>
      <c r="F21" s="11">
        <f>VLOOKUP($A21,Dataset!$A$2:$V$40,MATCH(Task_2!$F$5,Dataset!$A$1:$V$1,0),FALSE)</f>
        <v>75</v>
      </c>
    </row>
    <row r="22" spans="1:6" ht="14.4" x14ac:dyDescent="0.3">
      <c r="A22" s="7" t="s">
        <v>58</v>
      </c>
      <c r="B22" s="11">
        <f>VLOOKUP($A22,Dataset!$A$2:$V$40,MATCH(Task_2!$B$5,Dataset!$A$1:$V$1,0),FALSE)</f>
        <v>-1</v>
      </c>
      <c r="C22" s="11">
        <f>VLOOKUP($A22,Dataset!$A$2:$V$40,MATCH(Task_2!$C$5,Dataset!$A$1:$V$1,0),FALSE)</f>
        <v>-1</v>
      </c>
      <c r="D22" s="11">
        <f>VLOOKUP($A22,Dataset!$A$2:$V$40,MATCH(Task_2!$D$5,Dataset!$A$1:$V$1,0),FALSE)</f>
        <v>-1</v>
      </c>
      <c r="E22" s="11">
        <f>VLOOKUP($A22,Dataset!$A$2:$V$40,MATCH(Task_2!$E$5,Dataset!$A$1:$V$1,0),FALSE)</f>
        <v>-1</v>
      </c>
      <c r="F22" s="11">
        <f>VLOOKUP($A22,Dataset!$A$2:$V$40,MATCH(Task_2!$F$5,Dataset!$A$1:$V$1,0),FALSE)</f>
        <v>-1</v>
      </c>
    </row>
    <row r="23" spans="1:6" ht="14.4" x14ac:dyDescent="0.3">
      <c r="A23" s="7" t="s">
        <v>31</v>
      </c>
      <c r="B23" s="11">
        <f>VLOOKUP($A23,Dataset!$A$2:$V$40,MATCH(Task_2!$B$5,Dataset!$A$1:$V$1,0),FALSE)</f>
        <v>45</v>
      </c>
      <c r="C23" s="11">
        <f>VLOOKUP($A23,Dataset!$A$2:$V$40,MATCH(Task_2!$C$5,Dataset!$A$1:$V$1,0),FALSE)</f>
        <v>133.4</v>
      </c>
      <c r="D23" s="11">
        <f>VLOOKUP($A23,Dataset!$A$2:$V$40,MATCH(Task_2!$D$5,Dataset!$A$1:$V$1,0),FALSE)</f>
        <v>79.400000000000006</v>
      </c>
      <c r="E23" s="11">
        <f>VLOOKUP($A23,Dataset!$A$2:$V$40,MATCH(Task_2!$E$5,Dataset!$A$1:$V$1,0),FALSE)</f>
        <v>160.9</v>
      </c>
      <c r="F23" s="11">
        <f>VLOOKUP($A23,Dataset!$A$2:$V$40,MATCH(Task_2!$F$5,Dataset!$A$1:$V$1,0),FALSE)</f>
        <v>79.400000000000006</v>
      </c>
    </row>
    <row r="24" spans="1:6" ht="14.4" x14ac:dyDescent="0.3">
      <c r="A24" s="7" t="s">
        <v>32</v>
      </c>
      <c r="B24" s="11">
        <f>VLOOKUP($A24,Dataset!$A$2:$V$40,MATCH(Task_2!$B$5,Dataset!$A$1:$V$1,0),FALSE)</f>
        <v>-1</v>
      </c>
      <c r="C24" s="11">
        <f>VLOOKUP($A24,Dataset!$A$2:$V$40,MATCH(Task_2!$C$5,Dataset!$A$1:$V$1,0),FALSE)</f>
        <v>-1</v>
      </c>
      <c r="D24" s="11">
        <f>VLOOKUP($A24,Dataset!$A$2:$V$40,MATCH(Task_2!$D$5,Dataset!$A$1:$V$1,0),FALSE)</f>
        <v>-1</v>
      </c>
      <c r="E24" s="11">
        <f>VLOOKUP($A24,Dataset!$A$2:$V$40,MATCH(Task_2!$E$5,Dataset!$A$1:$V$1,0),FALSE)</f>
        <v>-1</v>
      </c>
      <c r="F24" s="11">
        <f>VLOOKUP($A24,Dataset!$A$2:$V$40,MATCH(Task_2!$F$5,Dataset!$A$1:$V$1,0),FALSE)</f>
        <v>-1</v>
      </c>
    </row>
    <row r="25" spans="1:6" ht="14.4" x14ac:dyDescent="0.3">
      <c r="A25" s="7" t="s">
        <v>34</v>
      </c>
      <c r="B25" s="11">
        <f>VLOOKUP($A25,Dataset!$A$2:$V$40,MATCH(Task_2!$B$5,Dataset!$A$1:$V$1,0),FALSE)</f>
        <v>43.3</v>
      </c>
      <c r="C25" s="11">
        <f>VLOOKUP($A25,Dataset!$A$2:$V$40,MATCH(Task_2!$C$5,Dataset!$A$1:$V$1,0),FALSE)</f>
        <v>128.6</v>
      </c>
      <c r="D25" s="11">
        <f>VLOOKUP($A25,Dataset!$A$2:$V$40,MATCH(Task_2!$D$5,Dataset!$A$1:$V$1,0),FALSE)</f>
        <v>79.400000000000006</v>
      </c>
      <c r="E25" s="11">
        <f>VLOOKUP($A25,Dataset!$A$2:$V$40,MATCH(Task_2!$E$5,Dataset!$A$1:$V$1,0),FALSE)</f>
        <v>160.9</v>
      </c>
      <c r="F25" s="11">
        <f>VLOOKUP($A25,Dataset!$A$2:$V$40,MATCH(Task_2!$F$5,Dataset!$A$1:$V$1,0),FALSE)</f>
        <v>79.400000000000006</v>
      </c>
    </row>
    <row r="26" spans="1:6" ht="14.4" x14ac:dyDescent="0.3">
      <c r="A26" s="7" t="s">
        <v>37</v>
      </c>
      <c r="B26" s="11">
        <f>VLOOKUP($A26,Dataset!$A$2:$V$40,MATCH(Task_2!$B$5,Dataset!$A$1:$V$1,0),FALSE)</f>
        <v>49.1</v>
      </c>
      <c r="C26" s="11">
        <f>VLOOKUP($A26,Dataset!$A$2:$V$40,MATCH(Task_2!$C$5,Dataset!$A$1:$V$1,0),FALSE)</f>
        <v>146.80000000000001</v>
      </c>
      <c r="D26" s="11">
        <f>VLOOKUP($A26,Dataset!$A$2:$V$40,MATCH(Task_2!$D$5,Dataset!$A$1:$V$1,0),FALSE)</f>
        <v>90.9</v>
      </c>
      <c r="E26" s="11">
        <f>VLOOKUP($A26,Dataset!$A$2:$V$40,MATCH(Task_2!$E$5,Dataset!$A$1:$V$1,0),FALSE)</f>
        <v>183.5</v>
      </c>
      <c r="F26" s="11">
        <f>VLOOKUP($A26,Dataset!$A$2:$V$40,MATCH(Task_2!$F$5,Dataset!$A$1:$V$1,0),FALSE)</f>
        <v>90.9</v>
      </c>
    </row>
    <row r="27" spans="1:6" ht="14.4" x14ac:dyDescent="0.3">
      <c r="A27" s="7" t="s">
        <v>39</v>
      </c>
      <c r="B27" s="11">
        <f>VLOOKUP($A27,Dataset!$A$2:$V$40,MATCH(Task_2!$B$5,Dataset!$A$1:$V$1,0),FALSE)</f>
        <v>51.8</v>
      </c>
      <c r="C27" s="11">
        <f>VLOOKUP($A27,Dataset!$A$2:$V$40,MATCH(Task_2!$C$5,Dataset!$A$1:$V$1,0),FALSE)</f>
        <v>156.4</v>
      </c>
      <c r="D27" s="11">
        <f>VLOOKUP($A27,Dataset!$A$2:$V$40,MATCH(Task_2!$D$5,Dataset!$A$1:$V$1,0),FALSE)</f>
        <v>93.1</v>
      </c>
      <c r="E27" s="11">
        <f>VLOOKUP($A27,Dataset!$A$2:$V$40,MATCH(Task_2!$E$5,Dataset!$A$1:$V$1,0),FALSE)</f>
        <v>188.1</v>
      </c>
      <c r="F27" s="11">
        <f>VLOOKUP($A27,Dataset!$A$2:$V$40,MATCH(Task_2!$F$5,Dataset!$A$1:$V$1,0),FALSE)</f>
        <v>93.1</v>
      </c>
    </row>
    <row r="28" spans="1:6" ht="14.4" x14ac:dyDescent="0.3">
      <c r="A28" s="18" t="s">
        <v>82</v>
      </c>
      <c r="B28" s="30">
        <f t="shared" ref="B28" si="0">MIN($B$6:$B$27)</f>
        <v>-1</v>
      </c>
      <c r="C28" s="30">
        <f>MIN($C$6:$C$27)</f>
        <v>-1</v>
      </c>
      <c r="D28" s="30">
        <f>MIN($D$6:$D$27)</f>
        <v>-1</v>
      </c>
      <c r="E28" s="30">
        <f>MIN($E$6:$E$27)</f>
        <v>-1</v>
      </c>
      <c r="F28" s="30">
        <f>MIN($F$6:$F$27)</f>
        <v>-1</v>
      </c>
    </row>
    <row r="29" spans="1:6" ht="14.4" x14ac:dyDescent="0.3">
      <c r="A29" s="18" t="s">
        <v>83</v>
      </c>
      <c r="B29" s="30">
        <f t="shared" ref="B29" si="1">MAX($B$6:$B$27)</f>
        <v>51.8</v>
      </c>
      <c r="C29" s="30">
        <f>MAX($C$6:$C$27)</f>
        <v>156.4</v>
      </c>
      <c r="D29" s="30">
        <f>MAX($D$6:$D$27)</f>
        <v>93.1</v>
      </c>
      <c r="E29" s="30">
        <f>MAX($E$6:$E$27)</f>
        <v>188.1</v>
      </c>
      <c r="F29" s="30">
        <f>MAX($F$6:$F$27)</f>
        <v>93.1</v>
      </c>
    </row>
    <row r="30" spans="1:6" ht="14.4" x14ac:dyDescent="0.3">
      <c r="A30" s="18" t="s">
        <v>84</v>
      </c>
      <c r="B30" s="30">
        <f t="shared" ref="B30" si="2">AVERAGE($B$6:$B$27)</f>
        <v>20.827272727272728</v>
      </c>
      <c r="C30" s="30">
        <f>AVERAGE($C$6:$C$27)</f>
        <v>62.377272727272725</v>
      </c>
      <c r="D30" s="30">
        <f>AVERAGE($D$6:$D$27)</f>
        <v>37.800000000000004</v>
      </c>
      <c r="E30" s="30">
        <f>AVERAGE($E$6:$E$27)</f>
        <v>76.418181818181822</v>
      </c>
      <c r="F30" s="30">
        <f>AVERAGE($F$6:$F$27)</f>
        <v>37.800000000000004</v>
      </c>
    </row>
    <row r="40" spans="8:8" x14ac:dyDescent="0.3">
      <c r="H40"/>
    </row>
    <row r="41" spans="8:8" x14ac:dyDescent="0.3">
      <c r="H41"/>
    </row>
    <row r="42" spans="8:8" x14ac:dyDescent="0.3">
      <c r="H42"/>
    </row>
    <row r="43" spans="8:8" x14ac:dyDescent="0.3">
      <c r="H4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6" zoomScaleNormal="100" workbookViewId="0">
      <selection activeCell="C24" sqref="C2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153</v>
      </c>
      <c r="B6" s="39" t="s">
        <v>182</v>
      </c>
    </row>
    <row r="7" spans="1:10" ht="18" x14ac:dyDescent="0.35">
      <c r="A7" s="42"/>
      <c r="B7" s="39" t="s">
        <v>183</v>
      </c>
    </row>
    <row r="8" spans="1:10" ht="18" x14ac:dyDescent="0.35">
      <c r="B8" s="39" t="s">
        <v>184</v>
      </c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D15" sqref="D1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2" t="s">
        <v>188</v>
      </c>
    </row>
    <row r="7" spans="1:3" ht="14.4" x14ac:dyDescent="0.3">
      <c r="A7" s="3" t="s">
        <v>153</v>
      </c>
      <c r="B7" s="1" t="s">
        <v>179</v>
      </c>
    </row>
    <row r="8" spans="1:3" ht="14.4" x14ac:dyDescent="0.3">
      <c r="B8" s="1" t="s">
        <v>180</v>
      </c>
    </row>
    <row r="9" spans="1:3" x14ac:dyDescent="0.3">
      <c r="B9" s="2" t="s">
        <v>181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 cm="1">
        <f t="array" ref="C22">SUM(IF(ISNA($C$11:$C$21), 20, $C$11:$C$21))</f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L9" sqref="L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48" t="s">
        <v>185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7"/>
    </row>
    <row r="6" spans="1:14" ht="15.6" x14ac:dyDescent="0.3">
      <c r="A6" s="3"/>
      <c r="B6" s="48" t="s">
        <v>186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7"/>
    </row>
    <row r="7" spans="1:14" ht="15.6" x14ac:dyDescent="0.3">
      <c r="B7" s="48" t="s">
        <v>187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7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 t="s">
        <v>99</v>
      </c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f>INDEX($A$9:$J$18,MATCH($A23,$M$9:$M$18,0),MATCH($B23,$M$9:$M$18,0))</f>
        <v>95</v>
      </c>
    </row>
    <row r="24" spans="1:14" ht="14.4" x14ac:dyDescent="0.3">
      <c r="A24" s="7">
        <v>10100</v>
      </c>
      <c r="B24" s="11">
        <v>10104</v>
      </c>
      <c r="C24" s="43">
        <f t="shared" ref="C24:C35" si="0">INDEX($A$9:$J$18,MATCH($A24,$M$9:$M$18,0),MATCH($B24,$M$9:$M$18,0))</f>
        <v>-1</v>
      </c>
    </row>
    <row r="25" spans="1:14" ht="14.4" x14ac:dyDescent="0.3">
      <c r="A25" s="7">
        <v>10108</v>
      </c>
      <c r="B25" s="11">
        <v>10102</v>
      </c>
      <c r="C25" s="43">
        <f t="shared" si="0"/>
        <v>160</v>
      </c>
    </row>
    <row r="26" spans="1:14" ht="14.4" x14ac:dyDescent="0.3">
      <c r="A26" s="7">
        <v>10100</v>
      </c>
      <c r="B26" s="11">
        <v>10106</v>
      </c>
      <c r="C26" s="43">
        <f t="shared" si="0"/>
        <v>185</v>
      </c>
    </row>
    <row r="27" spans="1:14" ht="14.4" x14ac:dyDescent="0.3">
      <c r="A27" s="7">
        <v>10108</v>
      </c>
      <c r="B27" s="11">
        <v>10110</v>
      </c>
      <c r="C27" s="43">
        <f t="shared" si="0"/>
        <v>50</v>
      </c>
    </row>
    <row r="28" spans="1:14" ht="14.4" x14ac:dyDescent="0.3">
      <c r="A28" s="7">
        <v>10102</v>
      </c>
      <c r="B28" s="11">
        <v>10104</v>
      </c>
      <c r="C28" s="43">
        <f t="shared" si="0"/>
        <v>-1</v>
      </c>
    </row>
    <row r="29" spans="1:14" ht="14.4" x14ac:dyDescent="0.3">
      <c r="A29" s="7">
        <v>10106</v>
      </c>
      <c r="B29" s="11">
        <v>10108</v>
      </c>
      <c r="C29" s="43">
        <f t="shared" si="0"/>
        <v>70</v>
      </c>
    </row>
    <row r="30" spans="1:14" ht="14.4" x14ac:dyDescent="0.3">
      <c r="A30" s="7">
        <v>10102</v>
      </c>
      <c r="B30" s="11">
        <v>10106</v>
      </c>
      <c r="C30" s="43">
        <f t="shared" si="0"/>
        <v>90</v>
      </c>
    </row>
    <row r="31" spans="1:14" ht="14.4" x14ac:dyDescent="0.3">
      <c r="A31" s="7">
        <v>10110</v>
      </c>
      <c r="B31" s="11">
        <v>10114</v>
      </c>
      <c r="C31" s="43">
        <f t="shared" si="0"/>
        <v>180</v>
      </c>
    </row>
    <row r="32" spans="1:14" ht="14.4" x14ac:dyDescent="0.3">
      <c r="A32" s="7">
        <v>10104</v>
      </c>
      <c r="B32" s="11">
        <v>10106</v>
      </c>
      <c r="C32" s="43">
        <f t="shared" si="0"/>
        <v>60</v>
      </c>
    </row>
    <row r="33" spans="1:3" ht="14.4" x14ac:dyDescent="0.3">
      <c r="A33" s="7">
        <v>10110</v>
      </c>
      <c r="B33" s="11">
        <v>10112</v>
      </c>
      <c r="C33" s="43">
        <f t="shared" si="0"/>
        <v>115</v>
      </c>
    </row>
    <row r="34" spans="1:3" ht="14.4" x14ac:dyDescent="0.3">
      <c r="A34" s="7">
        <v>10100</v>
      </c>
      <c r="B34" s="11">
        <v>10114</v>
      </c>
      <c r="C34" s="43">
        <f>INDEX($A$9:$J$18,MATCH($A34,$M$9:$M$18,0),MATCH($B34,$M$9:$M$18,0))</f>
        <v>480</v>
      </c>
    </row>
    <row r="35" spans="1:3" ht="14.4" x14ac:dyDescent="0.3">
      <c r="A35" s="8">
        <v>10112</v>
      </c>
      <c r="B35" s="12">
        <v>10116</v>
      </c>
      <c r="C35" s="46">
        <f t="shared" si="0"/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AMRUTHA C</cp:lastModifiedBy>
  <dcterms:created xsi:type="dcterms:W3CDTF">2015-02-10T17:33:11Z</dcterms:created>
  <dcterms:modified xsi:type="dcterms:W3CDTF">2023-12-11T16:19:18Z</dcterms:modified>
</cp:coreProperties>
</file>